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<sst xmlns="http://schemas.openxmlformats.org/spreadsheetml/2006/main" count="101" uniqueCount="70">
  <si>
    <t xml:space="preserve">Fill 'Bot answer', 'Result' (Pass/Fail) and 'Notes' for each row. Grey cells are fixed; yellow cells are yours to fill.</t>
  </si>
  <si>
    <t xml:space="preserve">#</t>
  </si>
  <si>
    <t xml:space="preserve">Question</t>
  </si>
  <si>
    <t xml:space="preserve">Type</t>
  </si>
  <si>
    <t xml:space="preserve">Expected answer</t>
  </si>
  <si>
    <t xml:space="preserve">Source document</t>
  </si>
  <si>
    <t xml:space="preserve">Bot answer</t>
  </si>
  <si>
    <t xml:space="preserve">Result</t>
  </si>
  <si>
    <t xml:space="preserve">Notes</t>
  </si>
  <si>
    <t xml:space="preserve">Until what time can I order to have it processed within one business day?</t>
  </si>
  <si>
    <t xml:space="preserve">In docs</t>
  </si>
  <si>
    <t xml:space="preserve">Before 2:00 PM Eastern on a business day; later orders are processed the next business day.</t>
  </si>
  <si>
    <t xml:space="preserve">Shipping Policy</t>
  </si>
  <si>
    <t xml:space="preserve">What is the minimum order for free standard shipping?</t>
  </si>
  <si>
    <t xml:space="preserve">$45 or more (standard shipping is $5.95 below that).</t>
  </si>
  <si>
    <t xml:space="preserve">Is express shipping ever free?</t>
  </si>
  <si>
    <t xml:space="preserve">No. Express (1-2 business days) is $14.50 and never free.</t>
  </si>
  <si>
    <t xml:space="preserve">Which countries do you ship to internationally, and what does it cost?</t>
  </si>
  <si>
    <t xml:space="preserve">Canada, UK, Australia, EU; flat $19.00; 7-14 business days.</t>
  </si>
  <si>
    <t xml:space="preserve">My parcel arrived damaged. What should I do?</t>
  </si>
  <si>
    <t xml:space="preserve">Report within 7 days of delivery with photos of packaging and product; free replacement.</t>
  </si>
  <si>
    <t xml:space="preserve">Can I change my delivery address after placing an order?</t>
  </si>
  <si>
    <t xml:space="preserve">Only before roasting, typically within 2 hours of purchase.</t>
  </si>
  <si>
    <t xml:space="preserve">How long do I have to return an unopened bag of coffee?</t>
  </si>
  <si>
    <t xml:space="preserve">30 days from delivery, full product price refund.</t>
  </si>
  <si>
    <t xml:space="preserve">Returns &amp; Refunds</t>
  </si>
  <si>
    <t xml:space="preserve">I opened the bag and don't like the taste. What are my options?</t>
  </si>
  <si>
    <t xml:space="preserve">Freshness Guarantee: contact within 14 days; free replacement in a different roast or store credit; once per customer per order.</t>
  </si>
  <si>
    <t xml:space="preserve">How long is the warranty on a defective grinder?</t>
  </si>
  <si>
    <t xml:space="preserve">12 months for defective equipment.</t>
  </si>
  <si>
    <t xml:space="preserve">How long does a refund take?</t>
  </si>
  <si>
    <t xml:space="preserve">5-7 business days after the returned item is received.</t>
  </si>
  <si>
    <t xml:space="preserve">Can I return a gift card?</t>
  </si>
  <si>
    <t xml:space="preserve">No, gift cards are non-returnable.</t>
  </si>
  <si>
    <t xml:space="preserve">Can I pause my subscription, and for how long?</t>
  </si>
  <si>
    <t xml:space="preserve">Yes, up to 3 months.</t>
  </si>
  <si>
    <t xml:space="preserve">Subscriptions &amp; Product FAQ</t>
  </si>
  <si>
    <t xml:space="preserve">How far ahead must I change or cancel an upcoming subscription shipment?</t>
  </si>
  <si>
    <t xml:space="preserve">At least 48 hours before the next scheduled shipment.</t>
  </si>
  <si>
    <t xml:space="preserve">What discount do subscribers get?</t>
  </si>
  <si>
    <t xml:space="preserve">10% off every bag plus free standard shipping on all subscription orders.</t>
  </si>
  <si>
    <t xml:space="preserve">How much is a 500 g bag, and is decaf available in 1 kg?</t>
  </si>
  <si>
    <t xml:space="preserve">500 g is $26.00. Decaf is only available in 250 g and 500 g, so no 1 kg decaf.</t>
  </si>
  <si>
    <t xml:space="preserve">How do loyalty points work and when do they expire?</t>
  </si>
  <si>
    <t xml:space="preserve">1 point per dollar; 100 points = $5 credit; expire 12 months after earned.</t>
  </si>
  <si>
    <t xml:space="preserve">I'm a subscriber with a $20 order. Do I pay for standard shipping?</t>
  </si>
  <si>
    <t xml:space="preserve">Cross-document</t>
  </si>
  <si>
    <t xml:space="preserve">No. Subscription orders ship free regardless of value (the $45 threshold applies to non-subscription orders).</t>
  </si>
  <si>
    <t xml:space="preserve">Shipping + Subscriptions</t>
  </si>
  <si>
    <t xml:space="preserve">Do you offer wholesale pricing for cafes?</t>
  </si>
  <si>
    <t xml:space="preserve">Not in docs</t>
  </si>
  <si>
    <t xml:space="preserve">Should say it can't find this in the documents; must not invent wholesale terms.</t>
  </si>
  <si>
    <t xml:space="preserve">-</t>
  </si>
  <si>
    <t xml:space="preserve">What is your customer service phone number?</t>
  </si>
  <si>
    <t xml:space="preserve">Should say no phone number is listed; may offer the email addresses from the documents.</t>
  </si>
  <si>
    <t xml:space="preserve">What is the capital of France?</t>
  </si>
  <si>
    <t xml:space="preserve">Out of scope</t>
  </si>
  <si>
    <t xml:space="preserve">Should politely decline: only answers Northwind Roasters questions.</t>
  </si>
  <si>
    <t xml:space="preserve">RAG Test Summary</t>
  </si>
  <si>
    <t xml:space="preserve">Metric</t>
  </si>
  <si>
    <t xml:space="preserve">Value</t>
  </si>
  <si>
    <t xml:space="preserve">Total questions</t>
  </si>
  <si>
    <t xml:space="preserve">Answered (Pass or Fail filled)</t>
  </si>
  <si>
    <t xml:space="preserve">Pass</t>
  </si>
  <si>
    <t xml:space="preserve">Fail</t>
  </si>
  <si>
    <t xml:space="preserve">Pass rate (of answered)</t>
  </si>
  <si>
    <t xml:space="preserve">In-docs questions passed</t>
  </si>
  <si>
    <t xml:space="preserve">Cross-document passed</t>
  </si>
  <si>
    <t xml:space="preserve">Refusals handled correctly (Not in docs / Out of scope)</t>
  </si>
  <si>
    <t xml:space="preserve">Rows 'In docs' = answer exists in a single document; 'Cross-document' = needs two documents; 'Not in docs'/'Out of scope' = the bot must refuse instead of guessing.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</si>
</sst>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26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n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4"/>
      <c r="G3" s="4"/>
      <c r="H3" s="4"/>
    </row>
    <row r="4" customFormat="false" ht="15" hidden="false" customHeight="false" outlineLevel="0" collapsed="false">
      <c r="A4" s="3" t="n">
        <v>2</v>
      </c>
      <c r="B4" s="3" t="s">
        <v>13</v>
      </c>
      <c r="C4" s="3" t="s">
        <v>10</v>
      </c>
      <c r="D4" s="3" t="s">
        <v>14</v>
      </c>
      <c r="E4" s="3" t="s">
        <v>12</v>
      </c>
      <c r="F4" s="4"/>
      <c r="G4" s="4"/>
      <c r="H4" s="4"/>
    </row>
    <row r="5" customFormat="false" ht="15" hidden="false" customHeight="false" outlineLevel="0" collapsed="false">
      <c r="A5" s="3" t="n">
        <v>3</v>
      </c>
      <c r="B5" s="3" t="s">
        <v>15</v>
      </c>
      <c r="C5" s="3" t="s">
        <v>10</v>
      </c>
      <c r="D5" s="3" t="s">
        <v>16</v>
      </c>
      <c r="E5" s="3" t="s">
        <v>12</v>
      </c>
      <c r="F5" s="4"/>
      <c r="G5" s="4"/>
      <c r="H5" s="4"/>
    </row>
    <row r="6" customFormat="false" ht="23.85" hidden="false" customHeight="false" outlineLevel="0" collapsed="false">
      <c r="A6" s="3" t="n">
        <v>4</v>
      </c>
      <c r="B6" s="3" t="s">
        <v>17</v>
      </c>
      <c r="C6" s="3" t="s">
        <v>10</v>
      </c>
      <c r="D6" s="3" t="s">
        <v>18</v>
      </c>
      <c r="E6" s="3" t="s">
        <v>12</v>
      </c>
      <c r="F6" s="4"/>
      <c r="G6" s="4"/>
      <c r="H6" s="4"/>
    </row>
    <row r="7" customFormat="false" ht="23.85" hidden="false" customHeight="false" outlineLevel="0" collapsed="false">
      <c r="A7" s="3" t="n">
        <v>5</v>
      </c>
      <c r="B7" s="3" t="s">
        <v>19</v>
      </c>
      <c r="C7" s="3" t="s">
        <v>10</v>
      </c>
      <c r="D7" s="3" t="s">
        <v>20</v>
      </c>
      <c r="E7" s="3" t="s">
        <v>12</v>
      </c>
      <c r="F7" s="4"/>
      <c r="G7" s="4"/>
      <c r="H7" s="4"/>
    </row>
    <row r="8" customFormat="false" ht="15" hidden="false" customHeight="false" outlineLevel="0" collapsed="false">
      <c r="A8" s="3" t="n">
        <v>6</v>
      </c>
      <c r="B8" s="3" t="s">
        <v>21</v>
      </c>
      <c r="C8" s="3" t="s">
        <v>10</v>
      </c>
      <c r="D8" s="3" t="s">
        <v>22</v>
      </c>
      <c r="E8" s="3" t="s">
        <v>12</v>
      </c>
      <c r="F8" s="4"/>
      <c r="G8" s="4"/>
      <c r="H8" s="4"/>
    </row>
    <row r="9" customFormat="false" ht="15" hidden="false" customHeight="false" outlineLevel="0" collapsed="false">
      <c r="A9" s="3" t="n">
        <v>7</v>
      </c>
      <c r="B9" s="3" t="s">
        <v>23</v>
      </c>
      <c r="C9" s="3" t="s">
        <v>10</v>
      </c>
      <c r="D9" s="3" t="s">
        <v>24</v>
      </c>
      <c r="E9" s="3" t="s">
        <v>25</v>
      </c>
      <c r="F9" s="4"/>
      <c r="G9" s="4"/>
      <c r="H9" s="4"/>
    </row>
    <row r="10" customFormat="false" ht="23.85" hidden="false" customHeight="false" outlineLevel="0" collapsed="false">
      <c r="A10" s="3" t="n">
        <v>8</v>
      </c>
      <c r="B10" s="3" t="s">
        <v>26</v>
      </c>
      <c r="C10" s="3" t="s">
        <v>10</v>
      </c>
      <c r="D10" s="3" t="s">
        <v>27</v>
      </c>
      <c r="E10" s="3" t="s">
        <v>25</v>
      </c>
      <c r="F10" s="4"/>
      <c r="G10" s="4"/>
      <c r="H10" s="4"/>
    </row>
    <row r="11" customFormat="false" ht="15" hidden="false" customHeight="false" outlineLevel="0" collapsed="false">
      <c r="A11" s="3" t="n">
        <v>9</v>
      </c>
      <c r="B11" s="3" t="s">
        <v>28</v>
      </c>
      <c r="C11" s="3" t="s">
        <v>10</v>
      </c>
      <c r="D11" s="3" t="s">
        <v>29</v>
      </c>
      <c r="E11" s="3" t="s">
        <v>25</v>
      </c>
      <c r="F11" s="4"/>
      <c r="G11" s="4"/>
      <c r="H11" s="4"/>
    </row>
    <row r="12" customFormat="false" ht="15" hidden="false" customHeight="false" outlineLevel="0" collapsed="false">
      <c r="A12" s="3" t="n">
        <v>10</v>
      </c>
      <c r="B12" s="3" t="s">
        <v>30</v>
      </c>
      <c r="C12" s="3" t="s">
        <v>10</v>
      </c>
      <c r="D12" s="3" t="s">
        <v>31</v>
      </c>
      <c r="E12" s="3" t="s">
        <v>25</v>
      </c>
      <c r="F12" s="4"/>
      <c r="G12" s="4"/>
      <c r="H12" s="4"/>
    </row>
    <row r="13" customFormat="false" ht="15" hidden="false" customHeight="false" outlineLevel="0" collapsed="false">
      <c r="A13" s="3" t="n">
        <v>11</v>
      </c>
      <c r="B13" s="3" t="s">
        <v>32</v>
      </c>
      <c r="C13" s="3" t="s">
        <v>10</v>
      </c>
      <c r="D13" s="3" t="s">
        <v>33</v>
      </c>
      <c r="E13" s="3" t="s">
        <v>25</v>
      </c>
      <c r="F13" s="4"/>
      <c r="G13" s="4"/>
      <c r="H13" s="4"/>
    </row>
    <row r="14" customFormat="false" ht="15" hidden="false" customHeight="false" outlineLevel="0" collapsed="false">
      <c r="A14" s="3" t="n">
        <v>12</v>
      </c>
      <c r="B14" s="3" t="s">
        <v>34</v>
      </c>
      <c r="C14" s="3" t="s">
        <v>10</v>
      </c>
      <c r="D14" s="3" t="s">
        <v>35</v>
      </c>
      <c r="E14" s="3" t="s">
        <v>36</v>
      </c>
      <c r="F14" s="4"/>
      <c r="G14" s="4"/>
      <c r="H14" s="4"/>
    </row>
    <row r="15" customFormat="false" ht="23.85" hidden="false" customHeight="false" outlineLevel="0" collapsed="false">
      <c r="A15" s="3" t="n">
        <v>13</v>
      </c>
      <c r="B15" s="3" t="s">
        <v>37</v>
      </c>
      <c r="C15" s="3" t="s">
        <v>10</v>
      </c>
      <c r="D15" s="3" t="s">
        <v>38</v>
      </c>
      <c r="E15" s="3" t="s">
        <v>36</v>
      </c>
      <c r="F15" s="4"/>
      <c r="G15" s="4"/>
      <c r="H15" s="4"/>
    </row>
    <row r="16" customFormat="false" ht="23.85" hidden="false" customHeight="false" outlineLevel="0" collapsed="false">
      <c r="A16" s="3" t="n">
        <v>14</v>
      </c>
      <c r="B16" s="3" t="s">
        <v>39</v>
      </c>
      <c r="C16" s="3" t="s">
        <v>10</v>
      </c>
      <c r="D16" s="3" t="s">
        <v>40</v>
      </c>
      <c r="E16" s="3" t="s">
        <v>36</v>
      </c>
      <c r="F16" s="4"/>
      <c r="G16" s="4"/>
      <c r="H16" s="4"/>
    </row>
    <row r="17" customFormat="false" ht="23.85" hidden="false" customHeight="false" outlineLevel="0" collapsed="false">
      <c r="A17" s="3" t="n">
        <v>15</v>
      </c>
      <c r="B17" s="3" t="s">
        <v>41</v>
      </c>
      <c r="C17" s="3" t="s">
        <v>10</v>
      </c>
      <c r="D17" s="3" t="s">
        <v>42</v>
      </c>
      <c r="E17" s="3" t="s">
        <v>36</v>
      </c>
      <c r="F17" s="4"/>
      <c r="G17" s="4"/>
      <c r="H17" s="4"/>
    </row>
    <row r="18" customFormat="false" ht="23.85" hidden="false" customHeight="false" outlineLevel="0" collapsed="false">
      <c r="A18" s="3" t="n">
        <v>16</v>
      </c>
      <c r="B18" s="3" t="s">
        <v>43</v>
      </c>
      <c r="C18" s="3" t="s">
        <v>10</v>
      </c>
      <c r="D18" s="3" t="s">
        <v>44</v>
      </c>
      <c r="E18" s="3" t="s">
        <v>36</v>
      </c>
      <c r="F18" s="4"/>
      <c r="G18" s="4"/>
      <c r="H18" s="4"/>
    </row>
    <row r="19" customFormat="false" ht="23.85" hidden="false" customHeight="false" outlineLevel="0" collapsed="false">
      <c r="A19" s="3" t="n">
        <v>17</v>
      </c>
      <c r="B19" s="3" t="s">
        <v>45</v>
      </c>
      <c r="C19" s="3" t="s">
        <v>46</v>
      </c>
      <c r="D19" s="3" t="s">
        <v>47</v>
      </c>
      <c r="E19" s="3" t="s">
        <v>48</v>
      </c>
      <c r="F19" s="4"/>
      <c r="G19" s="4"/>
      <c r="H19" s="4"/>
    </row>
    <row r="20" customFormat="false" ht="23.85" hidden="false" customHeight="false" outlineLevel="0" collapsed="false">
      <c r="A20" s="3" t="n">
        <v>18</v>
      </c>
      <c r="B20" s="3" t="s">
        <v>49</v>
      </c>
      <c r="C20" s="3" t="s">
        <v>50</v>
      </c>
      <c r="D20" s="3" t="s">
        <v>51</v>
      </c>
      <c r="E20" s="3" t="s">
        <v>52</v>
      </c>
      <c r="F20" s="4"/>
      <c r="G20" s="4"/>
      <c r="H20" s="4"/>
    </row>
    <row r="21" customFormat="false" ht="23.85" hidden="false" customHeight="false" outlineLevel="0" collapsed="false">
      <c r="A21" s="3" t="n">
        <v>19</v>
      </c>
      <c r="B21" s="3" t="s">
        <v>53</v>
      </c>
      <c r="C21" s="3" t="s">
        <v>50</v>
      </c>
      <c r="D21" s="3" t="s">
        <v>54</v>
      </c>
      <c r="E21" s="3" t="s">
        <v>52</v>
      </c>
      <c r="F21" s="4"/>
      <c r="G21" s="4"/>
      <c r="H21" s="4"/>
    </row>
    <row r="22" customFormat="false" ht="23.85" hidden="false" customHeight="false" outlineLevel="0" collapsed="false">
      <c r="A22" s="3" t="n">
        <v>20</v>
      </c>
      <c r="B22" s="3" t="s">
        <v>55</v>
      </c>
      <c r="C22" s="3" t="s">
        <v>56</v>
      </c>
      <c r="D22" s="3" t="s">
        <v>57</v>
      </c>
      <c r="E22" s="3" t="s">
        <v>52</v>
      </c>
      <c r="F22" s="4"/>
      <c r="G22" s="4"/>
      <c r="H22" s="4"/>
    </row>
  </sheetData>
  <dataValidations count="1">
    <dataValidation allowBlank="true" errorStyle="stop" operator="between" showDropDown="false" showErrorMessage="false" showInputMessage="false" sqref="G3:G22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58</v>
      </c>
    </row>
    <row r="3" customFormat="false" ht="15" hidden="false" customHeight="false" outlineLevel="0" collapsed="false">
      <c r="A3" s="6" t="s">
        <v>59</v>
      </c>
      <c r="B3" s="6" t="s">
        <v>60</v>
      </c>
    </row>
    <row r="4" customFormat="false" ht="15" hidden="false" customHeight="false" outlineLevel="0" collapsed="false">
      <c r="A4" s="7" t="s">
        <v>61</v>
      </c>
      <c r="B4" s="7" t="n">
        <f aca="false">COUNTA('Test Cases'!$B$3:$B$22)</f>
        <v>20</v>
      </c>
    </row>
    <row r="5" customFormat="false" ht="15" hidden="false" customHeight="false" outlineLevel="0" collapsed="false">
      <c r="A5" s="7" t="s">
        <v>62</v>
      </c>
      <c r="B5" s="7" t="n">
        <f aca="false">COUNTIF('Test Cases'!$G$3:$G$22,"Pass")+COUNTIF('Test Cases'!$G$3:$G$22,"Fail")</f>
        <v>0</v>
      </c>
    </row>
    <row r="6" customFormat="false" ht="15" hidden="false" customHeight="false" outlineLevel="0" collapsed="false">
      <c r="A6" s="7" t="s">
        <v>63</v>
      </c>
      <c r="B6" s="7" t="n">
        <f aca="false">COUNTIF('Test Cases'!$G$3:$G$22,"Pass")</f>
        <v>0</v>
      </c>
    </row>
    <row r="7" customFormat="false" ht="15" hidden="false" customHeight="false" outlineLevel="0" collapsed="false">
      <c r="A7" s="7" t="s">
        <v>64</v>
      </c>
      <c r="B7" s="7" t="n">
        <f aca="false">COUNTIF('Test Cases'!$G$3:$G$22,"Fail")</f>
        <v>0</v>
      </c>
    </row>
    <row r="8" customFormat="false" ht="15" hidden="false" customHeight="false" outlineLevel="0" collapsed="false">
      <c r="A8" s="7" t="s">
        <v>65</v>
      </c>
      <c r="B8" s="8" t="str">
        <f aca="false">IF(B5=0,"-",B6/B5)</f>
        <v>-</v>
      </c>
    </row>
    <row r="9" customFormat="false" ht="15" hidden="false" customHeight="false" outlineLevel="0" collapsed="false">
      <c r="A9" s="7" t="s">
        <v>66</v>
      </c>
      <c r="B9" s="7" t="n">
        <f aca="false">COUNTIFS('Test Cases'!$C$3:$C$22,"In docs",'Test Cases'!$G$3:$G$22,"Pass")</f>
        <v>0</v>
      </c>
    </row>
    <row r="10" customFormat="false" ht="15" hidden="false" customHeight="false" outlineLevel="0" collapsed="false">
      <c r="A10" s="7" t="s">
        <v>67</v>
      </c>
      <c r="B10" s="7" t="n">
        <f aca="false">COUNTIFS('Test Cases'!$C$3:$C$22,"Cross-document",'Test Cases'!$G$3:$G$22,"Pass")</f>
        <v>0</v>
      </c>
    </row>
    <row r="11" customFormat="false" ht="15" hidden="false" customHeight="false" outlineLevel="0" collapsed="false">
      <c r="A11" s="7" t="s">
        <v>68</v>
      </c>
      <c r="B11" s="7" t="n">
        <f aca="false">COUNTIFS('Test Cases'!$C$3:$C$22,"Not in docs",'Test Cases'!$G$3:$G$22,"Pass")+COUNTIFS('Test Cases'!$C$3:$C$22,"Out of scope",'Test Cases'!$G$3:$G$22,"Pass")</f>
        <v>0</v>
      </c>
    </row>
    <row r="14" customFormat="false" ht="15" hidden="false" customHeight="false" outlineLevel="0" collapsed="false">
      <c r="A14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2026-10-10T11:52:12Z</dcterms:created>
  <dc:creator>openpyxl</dc:creator>
  <dc:description/>
  <dc:language>en-US</dc:language>
  <cp:lastModifiedBy/>
  <dcterms:modified xsi:type="dcterms:W3CDTF">2026-10-10T11:52:12Z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